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080" yWindow="4380" windowWidth="17280" windowHeight="8880"/>
  </bookViews>
  <sheets>
    <sheet sheetId="4" name="SOA" state="visible" r:id="rId4"/>
  </sheets>
  <definedNames>
    <definedName name="_xlnm._FilterDatabase">SOA!$B$11:$O$11</definedName>
    <definedName name="_xlnm.Print_Area" localSheetId="0">'SOA'!$B1:$H50</definedName>
  </definedNames>
  <calcPr calcId="171027"/>
</workbook>
</file>

<file path=xl/sharedStrings.xml><?xml version="1.0" encoding="utf-8"?>
<sst xmlns="http://schemas.openxmlformats.org/spreadsheetml/2006/main" count="74" uniqueCount="59">
  <si>
    <t>Cut-off date</t>
  </si>
  <si>
    <t>DATE</t>
  </si>
  <si>
    <t>CLIENT CODE</t>
  </si>
  <si>
    <t>CC000029</t>
  </si>
  <si>
    <t>CLIENT NAME</t>
  </si>
  <si>
    <t>DISCOVER THE WORLD MARKETING INC.</t>
  </si>
  <si>
    <t>STATEMENT OF ACCOUNT</t>
  </si>
  <si>
    <t>Invoice Date</t>
  </si>
  <si>
    <t>Invoice Number</t>
  </si>
  <si>
    <t>Due Date</t>
  </si>
  <si>
    <t>Period covered</t>
  </si>
  <si>
    <t>Particulars</t>
  </si>
  <si>
    <t>Amount</t>
  </si>
  <si>
    <t>REMARKS</t>
  </si>
  <si>
    <t>Invoice Days Age</t>
  </si>
  <si>
    <t>Past Due Days</t>
  </si>
  <si>
    <t>BI#000212528</t>
  </si>
  <si>
    <t>10/13/2021 - 11/12/2021</t>
  </si>
  <si>
    <t>BH-283 / A1UF041111519</t>
  </si>
  <si>
    <t>BI#000302039</t>
  </si>
  <si>
    <t>08/11/2023 - 09/06/2023</t>
  </si>
  <si>
    <t>SVR-INV#000000480</t>
  </si>
  <si>
    <t>06/11/2024 - 07/08/2024</t>
  </si>
  <si>
    <t>SVR-INV#000004586</t>
  </si>
  <si>
    <t>07/09/2024 - 08/07/2024</t>
  </si>
  <si>
    <t>SVR-INV#000008692</t>
  </si>
  <si>
    <t>08/08/2024 - 09/10/2024</t>
  </si>
  <si>
    <t>SVR-INV#000012327</t>
  </si>
  <si>
    <t>09/11/2024 - 10/09/2024</t>
  </si>
  <si>
    <t>SVR-INV#000016837</t>
  </si>
  <si>
    <t>10/10/2024 - 11/11/2024</t>
  </si>
  <si>
    <t>SVR-INV#000020910</t>
  </si>
  <si>
    <t>11/12/2024 - 12/11/2024</t>
  </si>
  <si>
    <t>SVR-INV#000024998</t>
  </si>
  <si>
    <t>12/12/2024 - 01/08/2025</t>
  </si>
  <si>
    <t>SVR-INV#000029085</t>
  </si>
  <si>
    <t>01/09/2025 - 02/07/2025</t>
  </si>
  <si>
    <t>SVR-INV#000033203</t>
  </si>
  <si>
    <t>02/08/2025 - 03/10/2025</t>
  </si>
  <si>
    <t>TOTAL</t>
  </si>
  <si>
    <t>90+ DAYS AGE</t>
  </si>
  <si>
    <t xml:space="preserve">   *Please pay within 7 days*</t>
  </si>
  <si>
    <t>PAST DUE</t>
  </si>
  <si>
    <t xml:space="preserve">   *Please pay within 15 days*</t>
  </si>
  <si>
    <t>TOTAL PAST DUE</t>
  </si>
  <si>
    <t>Less: Unapplied payments (3)</t>
  </si>
  <si>
    <t>OR Date</t>
  </si>
  <si>
    <t>OR number</t>
  </si>
  <si>
    <t>Date received</t>
  </si>
  <si>
    <t>Details</t>
  </si>
  <si>
    <t>Total AR outstanding</t>
  </si>
  <si>
    <t>Installment receivables</t>
  </si>
  <si>
    <t>Total Installment receivables not yet due</t>
  </si>
  <si>
    <t>IMPORTANT ADVISORY</t>
  </si>
  <si>
    <t>(1) Please pay within 7 days all invoices that are aged 90+ days for HOLD status to be lifted</t>
  </si>
  <si>
    <t>(2) Please pay within 15 days all Past Due invoices</t>
  </si>
  <si>
    <t>(3) Unapplied payments are amounts received that are not applied to invoices due to lack of payment details.  For correct matching, always provide invoice details of your payments.  For correct indetification of your online payment or direct deposit, always indicate your Company name together with the details of your payment</t>
  </si>
  <si>
    <t xml:space="preserve">(4) Transactions posted after cut-off date of this statement will be shown in the next statement.   </t>
  </si>
  <si>
    <t xml:space="preserve">(5)  Inform immediately our Credit and Collection Department for any discrepancy noted, call (02) 8846- 5076 to 77 or email us at cnc@ubix.com.ph.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</si>
</sst>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3409]mmmm dd, yyyy;@"/>
    <numFmt numFmtId="165" formatCode="mmmm&quot; &quot;d&quot;, &quot;yyyy"/>
    <numFmt numFmtId="166" formatCode="_(* #,##0.00_);_(* (#,##0.00);_(* &quot;-&quot;??_);_(@_)"/>
    <numFmt numFmtId="167" formatCode="_-* #,##0.00_-;-* #,##0.00_-;_-* &quot;-&quot;??_-;_-@_-"/>
    <numFmt numFmtId="168" formatCode="_-* #,##0.00_-;-* #,##0.00_-;_-* &quot;-&quot;??_-;_-@"/>
  </numFmts>
  <fonts count="10" x14ac:knownFonts="1">
    <font>
      <color theme="1"/>
      <family val="2"/>
      <scheme val="minor"/>
      <sz val="11"/>
      <name val="Calibri"/>
    </font>
    <font>
      <color theme="1"/>
      <family val="2"/>
      <scheme val="minor"/>
      <sz val="9"/>
      <name val="Calibri"/>
    </font>
    <font>
      <b/>
      <color theme="1"/>
      <family val="2"/>
      <scheme val="minor"/>
      <sz val="9"/>
      <name val="Calibri"/>
    </font>
    <font>
      <family val="2"/>
      <scheme val="minor"/>
      <sz val="9"/>
      <name val="Calibri"/>
    </font>
    <font>
      <b/>
      <color rgb="FF000000"/>
      <family val="2"/>
      <scheme val="minor"/>
      <sz val="9"/>
      <name val="Calibri"/>
    </font>
    <font>
      <b/>
      <family val="2"/>
      <scheme val="minor"/>
      <sz val="9"/>
      <name val="Calibri"/>
    </font>
    <font>
      <color indexed="8"/>
      <sz val="8"/>
      <name val="Arial"/>
    </font>
    <font>
      <b/>
      <color indexed="8"/>
      <family val="2"/>
      <sz val="8"/>
      <name val="Arial"/>
    </font>
    <font>
      <family val="2"/>
      <scheme val="minor"/>
      <sz val="8"/>
      <name val="Calibri"/>
    </font>
    <font>
      <color theme="1"/>
      <family val="2"/>
      <scheme val="minor"/>
      <sz val="8"/>
      <name val="Calibri"/>
    </font>
  </fonts>
  <fills count="5">
    <fill>
      <patternFill patternType="none"/>
    </fill>
    <fill>
      <patternFill patternType="gray125"/>
    </fill>
    <fill>
      <patternFill patternType="solid">
        <fgColor rgb="FFFFFF00"/>
        <bgColor indexed="64"/>
      </patternFill>
    </fill>
    <fill>
      <patternFill patternType="solid">
        <fgColor rgb="FFDBE5F1"/>
        <bgColor rgb="FFDBE5F1"/>
      </patternFill>
    </fill>
    <fill>
      <patternFill patternType="solid">
        <fgColor theme="4" tint="0.7999816888943144"/>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94">
    <xf numFmtId="0" fontId="0" fillId="0" borderId="0" xfId="0"/>
    <xf numFmtId="0" fontId="1" fillId="0" borderId="0" xfId="0" applyFont="1"/>
    <xf numFmtId="0" fontId="1" fillId="0" borderId="0" xfId="0" applyFont="1" applyAlignment="1">
      <alignment horizontal="center"/>
    </xf>
    <xf numFmtId="164" fontId="1"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164" fontId="2" fillId="2" borderId="0" xfId="0" applyNumberFormat="1" applyFont="1" applyFill="1" applyAlignment="1">
      <alignment vertical="center"/>
    </xf>
    <xf numFmtId="0" fontId="2" fillId="2" borderId="0" xfId="0" applyFont="1" applyFill="1" applyAlignment="1">
      <alignment horizontal="left"/>
    </xf>
    <xf numFmtId="0" fontId="2" fillId="0" borderId="1" xfId="0" applyFont="1" applyBorder="1" applyAlignment="1">
      <alignment vertical="center"/>
    </xf>
    <xf numFmtId="0" fontId="3" fillId="0" borderId="2" xfId="0"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vertical="center"/>
    </xf>
    <xf numFmtId="165" fontId="4" fillId="0" borderId="0" xfId="0" applyNumberFormat="1" applyFont="1" applyAlignment="1">
      <alignment horizontal="left" vertical="center"/>
    </xf>
    <xf numFmtId="0" fontId="5" fillId="0" borderId="0" xfId="0" applyFont="1"/>
    <xf numFmtId="0" fontId="5" fillId="0" borderId="5" xfId="0" applyFont="1" applyBorder="1"/>
    <xf numFmtId="0" fontId="4" fillId="0" borderId="4" xfId="0" applyFont="1" applyBorder="1" applyAlignment="1">
      <alignment vertical="center"/>
    </xf>
    <xf numFmtId="0" fontId="6" fillId="0" borderId="0" xfId="0" applyFont="1" applyAlignment="1">
      <alignment horizontal="left" vertical="center"/>
    </xf>
    <xf numFmtId="0" fontId="2" fillId="0" borderId="5" xfId="0" applyFont="1" applyBorder="1" applyAlignment="1">
      <alignment horizontal="center" vertical="center"/>
    </xf>
    <xf numFmtId="0" fontId="7" fillId="0" borderId="0" xfId="0" applyFont="1" applyAlignment="1">
      <alignment horizontal="left" vertical="center"/>
    </xf>
    <xf numFmtId="0" fontId="2" fillId="0" borderId="0" xfId="0" applyFont="1" applyAlignment="1">
      <alignment horizontal="left"/>
    </xf>
    <xf numFmtId="0" fontId="4" fillId="0" borderId="5" xfId="0" applyFont="1" applyBorder="1" applyAlignment="1">
      <alignment horizontal="left" vertical="center"/>
    </xf>
    <xf numFmtId="0" fontId="1" fillId="0" borderId="6" xfId="0" applyFont="1" applyBorder="1" applyAlignment="1">
      <alignment vertical="center"/>
    </xf>
    <xf numFmtId="0" fontId="1" fillId="0" borderId="7" xfId="0" applyFont="1" applyBorder="1" applyAlignment="1">
      <alignment vertical="center"/>
    </xf>
    <xf numFmtId="0" fontId="3" fillId="0" borderId="7" xfId="0" applyFont="1" applyBorder="1"/>
    <xf numFmtId="0" fontId="3" fillId="0" borderId="8" xfId="0"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165" fontId="2" fillId="0" borderId="6" xfId="0" applyNumberFormat="1" applyFont="1" applyBorder="1" applyAlignment="1">
      <alignment horizontal="right" vertical="top"/>
    </xf>
    <xf numFmtId="165" fontId="2" fillId="0" borderId="7" xfId="0" applyNumberFormat="1" applyFont="1" applyBorder="1" applyAlignment="1">
      <alignment horizontal="right" vertical="top"/>
    </xf>
    <xf numFmtId="165" fontId="2" fillId="0" borderId="7" xfId="0" applyNumberFormat="1" applyFont="1" applyBorder="1" applyAlignment="1">
      <alignment horizontal="center" vertical="top"/>
    </xf>
    <xf numFmtId="165" fontId="2" fillId="0" borderId="8" xfId="0" applyNumberFormat="1" applyFont="1" applyBorder="1" applyAlignment="1">
      <alignment horizontal="center" vertical="top"/>
    </xf>
    <xf numFmtId="15" fontId="1" fillId="0" borderId="9" xfId="0" applyNumberFormat="1" applyFont="1" applyBorder="1" applyAlignment="1">
      <alignment horizontal="center"/>
    </xf>
    <xf numFmtId="15" fontId="1" fillId="0" borderId="10" xfId="0" applyNumberFormat="1" applyFont="1" applyBorder="1" applyAlignment="1">
      <alignment horizont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4" xfId="0" applyFont="1" applyFill="1" applyBorder="1" applyAlignment="1">
      <alignment horizontal="center" vertical="center"/>
    </xf>
    <xf numFmtId="14" fontId="6" fillId="0" borderId="15" xfId="0" applyNumberFormat="1" applyFont="1" applyBorder="1" applyAlignment="1">
      <alignment horizontal="left" vertical="center"/>
    </xf>
    <xf numFmtId="0" fontId="6" fillId="0" borderId="16" xfId="0" applyFont="1" applyBorder="1" applyAlignment="1">
      <alignment horizontal="left" vertical="center"/>
    </xf>
    <xf numFmtId="14" fontId="6" fillId="0" borderId="16" xfId="0" applyNumberFormat="1" applyFont="1" applyBorder="1" applyAlignment="1">
      <alignment horizontal="left" vertical="center"/>
    </xf>
    <xf numFmtId="166" fontId="8" fillId="0" borderId="17" xfId="0" applyNumberFormat="1" applyFont="1" applyBorder="1"/>
    <xf numFmtId="0" fontId="1" fillId="0" borderId="1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9" fillId="0" borderId="0" xfId="0" applyFont="1"/>
    <xf numFmtId="14" fontId="6" fillId="0" borderId="19" xfId="0" applyNumberFormat="1" applyFont="1" applyBorder="1" applyAlignment="1">
      <alignment horizontal="left" vertical="center"/>
    </xf>
    <xf numFmtId="0" fontId="6" fillId="0" borderId="20" xfId="0" applyFont="1" applyBorder="1" applyAlignment="1">
      <alignment horizontal="left" vertical="center"/>
    </xf>
    <xf numFmtId="14" fontId="6" fillId="0" borderId="20" xfId="0" applyNumberFormat="1" applyFont="1" applyBorder="1" applyAlignment="1">
      <alignment horizontal="left" vertical="center"/>
    </xf>
    <xf numFmtId="166" fontId="8" fillId="0" borderId="21" xfId="0" applyNumberFormat="1" applyFont="1" applyBorder="1"/>
    <xf numFmtId="0" fontId="4" fillId="4" borderId="6" xfId="0" applyFont="1" applyFill="1" applyBorder="1"/>
    <xf numFmtId="0" fontId="4" fillId="4" borderId="7" xfId="0" applyFont="1" applyFill="1" applyBorder="1" applyAlignment="1">
      <alignment horizontal="center"/>
    </xf>
    <xf numFmtId="167" fontId="4" fillId="4" borderId="8" xfId="0" applyNumberFormat="1" applyFont="1" applyFill="1" applyBorder="1" applyAlignment="1">
      <alignment horizontal="center"/>
    </xf>
    <xf numFmtId="0" fontId="4" fillId="4" borderId="22" xfId="0" applyFont="1" applyFill="1" applyBorder="1"/>
    <xf numFmtId="0" fontId="4" fillId="4" borderId="23" xfId="0" applyFont="1" applyFill="1" applyBorder="1"/>
    <xf numFmtId="0" fontId="4" fillId="4" borderId="23" xfId="0" applyFont="1" applyFill="1" applyBorder="1" applyAlignment="1">
      <alignment horizontal="center"/>
    </xf>
    <xf numFmtId="167" fontId="4" fillId="4" borderId="24" xfId="0" applyNumberFormat="1" applyFont="1" applyFill="1" applyBorder="1" applyAlignment="1">
      <alignment horizontal="center"/>
    </xf>
    <xf numFmtId="0" fontId="1" fillId="0" borderId="25" xfId="0" applyFont="1" applyBorder="1" applyAlignment="1">
      <alignment vertical="center"/>
    </xf>
    <xf numFmtId="0" fontId="1" fillId="0" borderId="3" xfId="0" applyFont="1" applyBorder="1" applyAlignment="1">
      <alignment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8" xfId="0" applyFont="1" applyFill="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168" fontId="1" fillId="0" borderId="28" xfId="0" applyNumberFormat="1" applyFont="1" applyBorder="1" applyAlignment="1">
      <alignment vertical="center"/>
    </xf>
    <xf numFmtId="0" fontId="1" fillId="0" borderId="28" xfId="0" applyFont="1" applyBorder="1" applyAlignment="1">
      <alignment vertical="center"/>
    </xf>
    <xf numFmtId="0" fontId="2" fillId="3" borderId="29" xfId="0" applyFont="1" applyFill="1" applyBorder="1" applyAlignment="1">
      <alignment vertical="center"/>
    </xf>
    <xf numFmtId="0" fontId="2" fillId="3" borderId="30" xfId="0" applyFont="1" applyFill="1" applyBorder="1" applyAlignment="1">
      <alignment horizontal="center" vertical="center"/>
    </xf>
    <xf numFmtId="168" fontId="2" fillId="3" borderId="31" xfId="0" applyNumberFormat="1" applyFont="1" applyFill="1" applyBorder="1" applyAlignment="1">
      <alignment vertical="center"/>
    </xf>
    <xf numFmtId="0" fontId="1" fillId="3" borderId="3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34" xfId="0" applyFont="1" applyFill="1" applyBorder="1" applyAlignment="1">
      <alignment horizontal="center" vertical="center"/>
    </xf>
    <xf numFmtId="14" fontId="1" fillId="0" borderId="26" xfId="0" applyNumberFormat="1" applyFont="1" applyBorder="1" applyAlignment="1">
      <alignment horizontal="center" vertical="center"/>
    </xf>
    <xf numFmtId="14" fontId="1" fillId="0" borderId="27" xfId="0" applyNumberFormat="1" applyFont="1" applyBorder="1" applyAlignment="1">
      <alignment horizontal="center" vertical="center"/>
    </xf>
    <xf numFmtId="0" fontId="1" fillId="3" borderId="29" xfId="0" applyFont="1" applyFill="1" applyBorder="1" applyAlignment="1">
      <alignment vertical="center"/>
    </xf>
    <xf numFmtId="0" fontId="1" fillId="3" borderId="30" xfId="0" applyFont="1" applyFill="1" applyBorder="1" applyAlignment="1">
      <alignment horizontal="center" vertical="center"/>
    </xf>
    <xf numFmtId="168" fontId="4" fillId="3" borderId="31" xfId="0" applyNumberFormat="1" applyFont="1" applyFill="1" applyBorder="1" applyAlignment="1">
      <alignment vertical="center"/>
    </xf>
    <xf numFmtId="0" fontId="3" fillId="0" borderId="0" xfId="0" applyFont="1" applyAlignment="1">
      <alignment horizontal="center"/>
    </xf>
    <xf numFmtId="4" fontId="3" fillId="0" borderId="0" xfId="0" applyNumberFormat="1" applyFont="1"/>
    <xf numFmtId="0" fontId="2" fillId="0" borderId="35" xfId="0" applyFont="1" applyBorder="1" applyAlignment="1">
      <alignment horizontal="center" vertical="top" wrapText="1"/>
    </xf>
    <xf numFmtId="0" fontId="2" fillId="0" borderId="36" xfId="0" applyFont="1" applyBorder="1" applyAlignment="1">
      <alignment horizontal="left" vertical="center" wrapText="1"/>
    </xf>
    <xf numFmtId="0" fontId="3" fillId="0" borderId="36" xfId="0" applyFont="1" applyBorder="1" applyAlignment="1">
      <alignment wrapText="1"/>
    </xf>
    <xf numFmtId="0" fontId="3" fillId="0" borderId="37" xfId="0" applyFont="1" applyBorder="1" applyAlignment="1">
      <alignment wrapText="1"/>
    </xf>
    <xf numFmtId="0" fontId="2" fillId="0" borderId="38" xfId="0" applyFont="1" applyBorder="1" applyAlignment="1">
      <alignment horizontal="center" vertical="top" wrapText="1"/>
    </xf>
    <xf numFmtId="0" fontId="2" fillId="0" borderId="0" xfId="0" applyFont="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applyAlignment="1">
      <alignment horizontal="center" vertical="top" wrapText="1"/>
    </xf>
    <xf numFmtId="0" fontId="4" fillId="0" borderId="41" xfId="0" applyFont="1" applyBorder="1" applyAlignment="1">
      <alignment horizontal="left" vertical="center" wrapText="1"/>
    </xf>
    <xf numFmtId="0" fontId="3" fillId="0" borderId="41" xfId="0" applyFont="1" applyBorder="1"/>
    <xf numFmtId="0" fontId="3" fillId="0" borderId="4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922020</xdr:colOff>
      <xdr:row>1</xdr:row>
      <xdr:rowOff>15240</xdr:rowOff>
    </xdr:from>
    <xdr:to>
      <xdr:col>7</xdr:col>
      <xdr:colOff>68580</xdr:colOff>
      <xdr:row>6</xdr:row>
      <xdr:rowOff>76200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8"/>
  <sheetViews>
    <sheetView workbookViewId="0" showGridLines="0" zoomScale="110" zoomScaleNormal="110">
      <selection activeCell="C17" sqref="C17"/>
    </sheetView>
  </sheetViews>
  <sheetFormatPr defaultRowHeight="12" outlineLevelRow="0" outlineLevelCol="0" x14ac:dyDescent="0.25" defaultColWidth="9.109375" customHeight="1"/>
  <cols>
    <col min="1" max="1" width="1.6640625" style="1" customWidth="1"/>
    <col min="2" max="2" width="10.88671875" style="1" customWidth="1"/>
    <col min="3" max="3" width="13.88671875" style="1" customWidth="1"/>
    <col min="4" max="4" width="11.44140625" style="1" customWidth="1"/>
    <col min="5" max="5" width="19" style="1" customWidth="1"/>
    <col min="6" max="6" width="20.5546875" style="1" customWidth="1"/>
    <col min="7" max="7" width="13.5546875" style="1" customWidth="1"/>
    <col min="8" max="8" width="11.33203125" style="2" customWidth="1"/>
    <col min="9" max="9" width="15.33203125" style="2" customWidth="1"/>
    <col min="10" max="10" width="11.33203125" style="2" customWidth="1"/>
    <col min="11" max="11" width="1.88671875" style="1" customWidth="1"/>
    <col min="12" max="16384" width="9.109375" style="1" customWidth="1"/>
  </cols>
  <sheetData>
    <row r="1" ht="12.6" customHeight="1" spans="2:10" x14ac:dyDescent="0.25">
      <c r="B1" s="3"/>
      <c r="C1" s="4"/>
      <c r="D1" s="4"/>
      <c r="E1" s="4"/>
      <c r="F1" s="4"/>
      <c r="G1" s="5"/>
      <c r="I1" s="6">
        <v>45747</v>
      </c>
      <c r="J1" s="7" t="s">
        <v>0</v>
      </c>
    </row>
    <row r="2" ht="6" customHeight="1" spans="2:7" x14ac:dyDescent="0.25">
      <c r="B2" s="8"/>
      <c r="C2" s="9"/>
      <c r="D2" s="10"/>
      <c r="E2" s="11"/>
      <c r="F2" s="4"/>
      <c r="G2" s="5"/>
    </row>
    <row r="3" spans="2:7" x14ac:dyDescent="0.25">
      <c r="B3" s="12" t="s">
        <v>1</v>
      </c>
      <c r="C3" s="13">
        <f>TODAY()</f>
        <v>46132</v>
      </c>
      <c r="D3" s="14"/>
      <c r="E3" s="15"/>
      <c r="F3" s="4"/>
      <c r="G3" s="5"/>
    </row>
    <row r="4" spans="2:7" x14ac:dyDescent="0.25">
      <c r="B4" s="16" t="s">
        <v>2</v>
      </c>
      <c r="C4" s="17" t="s">
        <v>3</v>
      </c>
      <c r="D4" s="14"/>
      <c r="E4" s="18"/>
      <c r="F4" s="4"/>
      <c r="G4" s="5"/>
    </row>
    <row r="5" spans="2:7" x14ac:dyDescent="0.25">
      <c r="B5" s="12" t="s">
        <v>4</v>
      </c>
      <c r="C5" s="19" t="s">
        <v>5</v>
      </c>
      <c r="D5" s="20"/>
      <c r="E5" s="21"/>
      <c r="F5" s="4"/>
      <c r="G5" s="5"/>
    </row>
    <row r="6" ht="6" customHeight="1" spans="2:7" x14ac:dyDescent="0.25">
      <c r="B6" s="22"/>
      <c r="C6" s="23"/>
      <c r="D6" s="24"/>
      <c r="E6" s="25"/>
      <c r="F6" s="4"/>
      <c r="G6" s="5"/>
    </row>
    <row r="7" spans="2:7" x14ac:dyDescent="0.25">
      <c r="B7" s="5"/>
      <c r="C7" s="4"/>
      <c r="D7" s="4"/>
      <c r="E7" s="4"/>
      <c r="F7" s="4"/>
      <c r="G7" s="5"/>
    </row>
    <row r="8" ht="12.6" customHeight="1" spans="2:7" x14ac:dyDescent="0.25">
      <c r="B8" s="5"/>
      <c r="C8" s="4"/>
      <c r="D8" s="4"/>
      <c r="E8" s="4"/>
      <c r="F8" s="4"/>
      <c r="G8" s="5"/>
    </row>
    <row r="9" ht="15" customHeight="1" spans="2:10" x14ac:dyDescent="0.25">
      <c r="B9" s="26" t="s">
        <v>6</v>
      </c>
      <c r="C9" s="27"/>
      <c r="D9" s="27"/>
      <c r="E9" s="27"/>
      <c r="F9" s="27"/>
      <c r="G9" s="27"/>
      <c r="H9" s="28"/>
      <c r="I9" s="29"/>
      <c r="J9" s="29"/>
    </row>
    <row r="10" ht="15.75" customHeight="1" spans="2:10" x14ac:dyDescent="0.25">
      <c r="B10" s="30"/>
      <c r="C10" s="31"/>
      <c r="D10" s="31"/>
      <c r="E10" s="31">
        <f>C3</f>
        <v>46132</v>
      </c>
      <c r="F10" s="32"/>
      <c r="G10" s="32"/>
      <c r="H10" s="33"/>
      <c r="I10" s="34">
        <f>I1</f>
        <v>45747</v>
      </c>
      <c r="J10" s="35">
        <f>I1</f>
        <v>45747</v>
      </c>
    </row>
    <row r="11" ht="12.6" customHeight="1" spans="2:10" x14ac:dyDescent="0.25">
      <c r="B11" s="36" t="s">
        <v>7</v>
      </c>
      <c r="C11" s="37" t="s">
        <v>8</v>
      </c>
      <c r="D11" s="37" t="s">
        <v>9</v>
      </c>
      <c r="E11" s="37" t="s">
        <v>10</v>
      </c>
      <c r="F11" s="37" t="s">
        <v>11</v>
      </c>
      <c r="G11" s="38" t="s">
        <v>12</v>
      </c>
      <c r="H11" s="39" t="s">
        <v>13</v>
      </c>
      <c r="I11" s="40" t="s">
        <v>14</v>
      </c>
      <c r="J11" s="41" t="s">
        <v>15</v>
      </c>
    </row>
    <row r="12" spans="2:11" x14ac:dyDescent="0.25">
      <c r="B12" s="42">
        <v>44524</v>
      </c>
      <c r="C12" s="43" t="s">
        <v>16</v>
      </c>
      <c r="D12" s="44">
        <v>44554</v>
      </c>
      <c r="E12" s="43" t="s">
        <v>17</v>
      </c>
      <c r="F12" s="43" t="s">
        <v>18</v>
      </c>
      <c r="G12" s="45">
        <v>13</v>
      </c>
      <c r="H12" s="46" t="str">
        <f>IF(AND(J12&gt;=1,I12&lt;=90),"PAST DUE",IF(I12&gt;=90,"90+ DAYS AGE","CURRENT"))</f>
        <v>90+ DAYS AGE</v>
      </c>
      <c r="I12" s="47">
        <f>$I$10-B12</f>
        <v>1223</v>
      </c>
      <c r="J12" s="48">
        <f>$J$10-D12</f>
        <v>1193</v>
      </c>
      <c r="K12" s="49">
        <f>I12-J12</f>
        <v>30</v>
      </c>
    </row>
    <row r="13" spans="2:11" x14ac:dyDescent="0.25">
      <c r="B13" s="50">
        <v>45182</v>
      </c>
      <c r="C13" s="51" t="s">
        <v>19</v>
      </c>
      <c r="D13" s="52">
        <v>45212</v>
      </c>
      <c r="E13" s="51" t="s">
        <v>20</v>
      </c>
      <c r="F13" s="51" t="s">
        <v>18</v>
      </c>
      <c r="G13" s="53">
        <v>3813.1</v>
      </c>
      <c r="H13" s="46" t="str">
        <f>IF(AND(J13&gt;=1,I13&lt;=90),"PAST DUE",IF(I13&gt;=90,"90+ DAYS AGE","CURRENT"))</f>
        <v>90+ DAYS AGE</v>
      </c>
      <c r="I13" s="47">
        <f>$I$10-B13</f>
        <v>565</v>
      </c>
      <c r="J13" s="48">
        <f>$J$10-D13</f>
        <v>535</v>
      </c>
      <c r="K13" s="49">
        <f>I13-J13</f>
        <v>30</v>
      </c>
    </row>
    <row r="14" spans="2:11" x14ac:dyDescent="0.25">
      <c r="B14" s="50">
        <v>45491</v>
      </c>
      <c r="C14" s="51" t="s">
        <v>21</v>
      </c>
      <c r="D14" s="52">
        <v>45521</v>
      </c>
      <c r="E14" s="51" t="s">
        <v>22</v>
      </c>
      <c r="F14" s="51" t="s">
        <v>18</v>
      </c>
      <c r="G14" s="53">
        <v>3745.01</v>
      </c>
      <c r="H14" s="46" t="str">
        <f>IF(AND(J14&gt;=1,I14&lt;=90),"PAST DUE",IF(I14&gt;=90,"90+ DAYS AGE","CURRENT"))</f>
        <v>90+ DAYS AGE</v>
      </c>
      <c r="I14" s="47">
        <f>$I$10-B14</f>
        <v>256</v>
      </c>
      <c r="J14" s="48">
        <f>$J$10-D14</f>
        <v>226</v>
      </c>
      <c r="K14" s="49">
        <f>I14-J14</f>
        <v>30</v>
      </c>
    </row>
    <row r="15" spans="2:11" x14ac:dyDescent="0.25">
      <c r="B15" s="50">
        <v>45519</v>
      </c>
      <c r="C15" s="51" t="s">
        <v>23</v>
      </c>
      <c r="D15" s="52">
        <v>45549</v>
      </c>
      <c r="E15" s="51" t="s">
        <v>24</v>
      </c>
      <c r="F15" s="51" t="s">
        <v>18</v>
      </c>
      <c r="G15" s="53">
        <v>3642.87</v>
      </c>
      <c r="H15" s="46" t="str">
        <f>IF(AND(J15&gt;=1,I15&lt;=90),"PAST DUE",IF(I15&gt;=90,"90+ DAYS AGE","CURRENT"))</f>
        <v>90+ DAYS AGE</v>
      </c>
      <c r="I15" s="47">
        <f>$I$10-B15</f>
        <v>228</v>
      </c>
      <c r="J15" s="48">
        <f>$J$10-D15</f>
        <v>198</v>
      </c>
      <c r="K15" s="49">
        <f>I15-J15</f>
        <v>30</v>
      </c>
    </row>
    <row r="16" spans="2:11" x14ac:dyDescent="0.25">
      <c r="B16" s="50">
        <v>45551</v>
      </c>
      <c r="C16" s="51" t="s">
        <v>25</v>
      </c>
      <c r="D16" s="52">
        <v>45581</v>
      </c>
      <c r="E16" s="51" t="s">
        <v>26</v>
      </c>
      <c r="F16" s="51" t="s">
        <v>18</v>
      </c>
      <c r="G16" s="53">
        <v>3642.87</v>
      </c>
      <c r="H16" s="46" t="str">
        <f>IF(AND(J16&gt;=1,I16&lt;=90),"PAST DUE",IF(I16&gt;=90,"90+ DAYS AGE","CURRENT"))</f>
        <v>90+ DAYS AGE</v>
      </c>
      <c r="I16" s="47">
        <f>$I$10-B16</f>
        <v>196</v>
      </c>
      <c r="J16" s="48">
        <f>$J$10-D16</f>
        <v>166</v>
      </c>
      <c r="K16" s="49">
        <f>I16-J16</f>
        <v>30</v>
      </c>
    </row>
    <row r="17" spans="2:11" x14ac:dyDescent="0.25">
      <c r="B17" s="50">
        <v>45576</v>
      </c>
      <c r="C17" s="51" t="s">
        <v>27</v>
      </c>
      <c r="D17" s="52">
        <v>45606</v>
      </c>
      <c r="E17" s="51" t="s">
        <v>28</v>
      </c>
      <c r="F17" s="51" t="s">
        <v>18</v>
      </c>
      <c r="G17" s="53">
        <v>3642.87</v>
      </c>
      <c r="H17" s="46" t="str">
        <f>IF(AND(J17&gt;=1,I17&lt;=90),"PAST DUE",IF(I17&gt;=90,"90+ DAYS AGE","CURRENT"))</f>
        <v>90+ DAYS AGE</v>
      </c>
      <c r="I17" s="47">
        <f>$I$10-B17</f>
        <v>171</v>
      </c>
      <c r="J17" s="48">
        <f>$J$10-D17</f>
        <v>141</v>
      </c>
      <c r="K17" s="49">
        <f>I17-J17</f>
        <v>30</v>
      </c>
    </row>
    <row r="18" spans="2:11" x14ac:dyDescent="0.25">
      <c r="B18" s="50">
        <v>45610</v>
      </c>
      <c r="C18" s="51" t="s">
        <v>29</v>
      </c>
      <c r="D18" s="52">
        <v>45640</v>
      </c>
      <c r="E18" s="51" t="s">
        <v>30</v>
      </c>
      <c r="F18" s="51" t="s">
        <v>18</v>
      </c>
      <c r="G18" s="53">
        <v>3642.87</v>
      </c>
      <c r="H18" s="46" t="str">
        <f>IF(AND(J18&gt;=1,I18&lt;=90),"PAST DUE",IF(I18&gt;=90,"90+ DAYS AGE","CURRENT"))</f>
        <v>90+ DAYS AGE</v>
      </c>
      <c r="I18" s="47">
        <f>$I$10-B18</f>
        <v>137</v>
      </c>
      <c r="J18" s="48">
        <f>$J$10-D18</f>
        <v>107</v>
      </c>
      <c r="K18" s="49">
        <f>I18-J18</f>
        <v>30</v>
      </c>
    </row>
    <row r="19" spans="2:11" x14ac:dyDescent="0.25">
      <c r="B19" s="50">
        <v>45639</v>
      </c>
      <c r="C19" s="51" t="s">
        <v>31</v>
      </c>
      <c r="D19" s="52">
        <v>45669</v>
      </c>
      <c r="E19" s="51" t="s">
        <v>32</v>
      </c>
      <c r="F19" s="51" t="s">
        <v>18</v>
      </c>
      <c r="G19" s="53">
        <v>3642.87</v>
      </c>
      <c r="H19" s="46" t="str">
        <f>IF(AND(J19&gt;=1,I19&lt;=90),"PAST DUE",IF(I19&gt;=90,"90+ DAYS AGE","CURRENT"))</f>
        <v>90+ DAYS AGE</v>
      </c>
      <c r="I19" s="47">
        <f>$I$10-B19</f>
        <v>108</v>
      </c>
      <c r="J19" s="48">
        <f>$J$10-D19</f>
        <v>78</v>
      </c>
      <c r="K19" s="49">
        <f>I19-J19</f>
        <v>30</v>
      </c>
    </row>
    <row r="20" spans="2:11" x14ac:dyDescent="0.25">
      <c r="B20" s="50">
        <v>45671</v>
      </c>
      <c r="C20" s="51" t="s">
        <v>33</v>
      </c>
      <c r="D20" s="52">
        <v>45701</v>
      </c>
      <c r="E20" s="51" t="s">
        <v>34</v>
      </c>
      <c r="F20" s="51" t="s">
        <v>18</v>
      </c>
      <c r="G20" s="53">
        <v>3642.87</v>
      </c>
      <c r="H20" s="46" t="str">
        <f>IF(AND(J20&gt;=1,I20&lt;=90),"PAST DUE",IF(I20&gt;=90,"90+ DAYS AGE","CURRENT"))</f>
        <v>PAST DUE</v>
      </c>
      <c r="I20" s="47">
        <f>$I$10-B20</f>
        <v>76</v>
      </c>
      <c r="J20" s="48">
        <f>$J$10-D20</f>
        <v>46</v>
      </c>
      <c r="K20" s="49">
        <f>I20-J20</f>
        <v>30</v>
      </c>
    </row>
    <row r="21" spans="2:11" x14ac:dyDescent="0.25">
      <c r="B21" s="50">
        <v>45702</v>
      </c>
      <c r="C21" s="51" t="s">
        <v>35</v>
      </c>
      <c r="D21" s="52">
        <v>45732</v>
      </c>
      <c r="E21" s="51" t="s">
        <v>36</v>
      </c>
      <c r="F21" s="51" t="s">
        <v>18</v>
      </c>
      <c r="G21" s="53">
        <v>3813.1</v>
      </c>
      <c r="H21" s="46" t="str">
        <f>IF(AND(J21&gt;=1,I21&lt;=90),"PAST DUE",IF(I21&gt;=90,"90+ DAYS AGE","CURRENT"))</f>
        <v>PAST DUE</v>
      </c>
      <c r="I21" s="47">
        <f>$I$10-B21</f>
        <v>45</v>
      </c>
      <c r="J21" s="48">
        <f>$J$10-D21</f>
        <v>15</v>
      </c>
      <c r="K21" s="49">
        <f>I21-J21</f>
        <v>30</v>
      </c>
    </row>
    <row r="22" spans="2:11" x14ac:dyDescent="0.25">
      <c r="B22" s="50">
        <v>45730</v>
      </c>
      <c r="C22" s="51" t="s">
        <v>37</v>
      </c>
      <c r="D22" s="52">
        <v>45760</v>
      </c>
      <c r="E22" s="51" t="s">
        <v>38</v>
      </c>
      <c r="F22" s="51" t="s">
        <v>18</v>
      </c>
      <c r="G22" s="53">
        <v>3813.1</v>
      </c>
      <c r="H22" s="46" t="str">
        <f>IF(AND(J22&gt;=1,I22&lt;=90),"PAST DUE",IF(I22&gt;=90,"90+ DAYS AGE","CURRENT"))</f>
        <v>CURRENT</v>
      </c>
      <c r="I22" s="47">
        <f>$I$10-B22</f>
        <v>17</v>
      </c>
      <c r="J22" s="48">
        <f>$J$10-D22</f>
        <v>-13</v>
      </c>
      <c r="K22" s="49">
        <f>I22-J22</f>
        <v>30</v>
      </c>
    </row>
    <row r="23" ht="12.6" customHeight="1" spans="2:10" x14ac:dyDescent="0.25">
      <c r="B23" s="54" t="s">
        <v>39</v>
      </c>
      <c r="C23" s="55"/>
      <c r="D23" s="55"/>
      <c r="E23" s="55"/>
      <c r="F23" s="55"/>
      <c r="G23" s="56">
        <f>SUM(G12:G22)</f>
        <v>37054.52999999999</v>
      </c>
      <c r="H23" s="2"/>
      <c r="I23" s="2"/>
      <c r="J23" s="2"/>
    </row>
    <row r="24" ht="11.25" customHeight="1" spans="2:10" x14ac:dyDescent="0.25">
      <c r="B24" s="57" t="s">
        <v>40</v>
      </c>
      <c r="C24" s="58" t="s">
        <v>41</v>
      </c>
      <c r="D24" s="59"/>
      <c r="E24" s="59"/>
      <c r="F24" s="59"/>
      <c r="G24" s="60">
        <f>SUMIF(H:H,B24,G:G)</f>
        <v>25785.459999999995</v>
      </c>
      <c r="H24" s="2"/>
      <c r="I24" s="2"/>
      <c r="J24" s="2"/>
    </row>
    <row r="25" ht="11.25" customHeight="1" spans="2:10" x14ac:dyDescent="0.25">
      <c r="B25" s="57" t="s">
        <v>42</v>
      </c>
      <c r="C25" s="58" t="s">
        <v>43</v>
      </c>
      <c r="D25" s="59"/>
      <c r="E25" s="59"/>
      <c r="F25" s="59"/>
      <c r="G25" s="60">
        <f>SUMIF(H:H,B25,G:G)</f>
        <v>7455.969999999999</v>
      </c>
      <c r="H25" s="2"/>
      <c r="I25" s="2"/>
      <c r="J25" s="2"/>
    </row>
    <row r="26" ht="11.25" customHeight="1" spans="2:10" x14ac:dyDescent="0.25">
      <c r="B26" s="57" t="s">
        <v>44</v>
      </c>
      <c r="C26" s="58"/>
      <c r="D26" s="59"/>
      <c r="E26" s="59"/>
      <c r="F26" s="59"/>
      <c r="G26" s="60">
        <f>G24+G25</f>
        <v>33241.42999999999</v>
      </c>
      <c r="H26" s="2"/>
      <c r="I26" s="2"/>
      <c r="J26" s="2"/>
    </row>
    <row r="27" ht="12.6" customHeight="1" spans="2:7" x14ac:dyDescent="0.25">
      <c r="B27" s="1"/>
      <c r="C27" s="1"/>
      <c r="D27" s="1"/>
      <c r="E27" s="2"/>
      <c r="F27" s="2"/>
      <c r="G27" s="1"/>
    </row>
    <row r="28" spans="2:7" x14ac:dyDescent="0.25">
      <c r="B28" s="61" t="s">
        <v>45</v>
      </c>
      <c r="C28" s="10"/>
      <c r="D28" s="10"/>
      <c r="E28" s="10"/>
      <c r="F28" s="10"/>
      <c r="G28" s="62"/>
    </row>
    <row r="29" spans="2:7" x14ac:dyDescent="0.25">
      <c r="B29" s="63" t="s">
        <v>46</v>
      </c>
      <c r="C29" s="64" t="s">
        <v>47</v>
      </c>
      <c r="D29" s="64" t="s">
        <v>48</v>
      </c>
      <c r="E29" s="64" t="s">
        <v>49</v>
      </c>
      <c r="F29" s="64"/>
      <c r="G29" s="65" t="s">
        <v>12</v>
      </c>
    </row>
    <row r="30" spans="2:7" x14ac:dyDescent="0.25">
      <c r="B30" s="66"/>
      <c r="C30" s="67"/>
      <c r="D30" s="67"/>
      <c r="E30" s="67"/>
      <c r="F30" s="67"/>
      <c r="G30" s="68"/>
    </row>
    <row r="31" spans="2:7" x14ac:dyDescent="0.25">
      <c r="B31" s="66"/>
      <c r="C31" s="67"/>
      <c r="D31" s="67"/>
      <c r="E31" s="67"/>
      <c r="F31" s="67"/>
      <c r="G31" s="68"/>
    </row>
    <row r="32" spans="2:7" x14ac:dyDescent="0.25">
      <c r="B32" s="66"/>
      <c r="C32" s="67"/>
      <c r="D32" s="67"/>
      <c r="E32" s="67"/>
      <c r="F32" s="67"/>
      <c r="G32" s="69"/>
    </row>
    <row r="33" spans="2:7" x14ac:dyDescent="0.25">
      <c r="B33" s="66"/>
      <c r="C33" s="67"/>
      <c r="D33" s="67"/>
      <c r="E33" s="67"/>
      <c r="F33" s="67"/>
      <c r="G33" s="69"/>
    </row>
    <row r="34" ht="12.6" customHeight="1" spans="2:7" x14ac:dyDescent="0.25">
      <c r="B34" s="70" t="s">
        <v>50</v>
      </c>
      <c r="C34" s="71"/>
      <c r="D34" s="71"/>
      <c r="E34" s="71"/>
      <c r="F34" s="71"/>
      <c r="G34" s="72">
        <f>G23-SUM(G30:G33)</f>
        <v>37054.52999999999</v>
      </c>
    </row>
    <row r="35" spans="2:7" x14ac:dyDescent="0.25">
      <c r="B35" s="5"/>
      <c r="C35" s="4"/>
      <c r="D35" s="4"/>
      <c r="E35" s="4"/>
      <c r="F35" s="4"/>
      <c r="G35" s="5"/>
    </row>
    <row r="36" ht="12.6" customHeight="1" spans="2:7" x14ac:dyDescent="0.25">
      <c r="B36" s="5" t="s">
        <v>51</v>
      </c>
      <c r="C36" s="4"/>
      <c r="D36" s="4"/>
      <c r="E36" s="4"/>
      <c r="F36" s="4"/>
      <c r="G36" s="5"/>
    </row>
    <row r="37" spans="2:7" x14ac:dyDescent="0.25">
      <c r="B37" s="73" t="s">
        <v>7</v>
      </c>
      <c r="C37" s="74" t="s">
        <v>8</v>
      </c>
      <c r="D37" s="74" t="s">
        <v>9</v>
      </c>
      <c r="E37" s="74"/>
      <c r="F37" s="74"/>
      <c r="G37" s="75" t="s">
        <v>12</v>
      </c>
    </row>
    <row r="38" spans="2:7" x14ac:dyDescent="0.25">
      <c r="B38" s="76"/>
      <c r="C38" s="67"/>
      <c r="D38" s="77"/>
      <c r="E38" s="67"/>
      <c r="F38" s="67"/>
      <c r="G38" s="68"/>
    </row>
    <row r="39" spans="2:7" x14ac:dyDescent="0.25">
      <c r="B39" s="66"/>
      <c r="C39" s="67"/>
      <c r="D39" s="67"/>
      <c r="E39" s="67"/>
      <c r="F39" s="67"/>
      <c r="G39" s="68"/>
    </row>
    <row r="40" spans="2:7" x14ac:dyDescent="0.25">
      <c r="B40" s="66"/>
      <c r="C40" s="67"/>
      <c r="D40" s="67"/>
      <c r="E40" s="67"/>
      <c r="F40" s="67"/>
      <c r="G40" s="69"/>
    </row>
    <row r="41" spans="2:7" x14ac:dyDescent="0.25">
      <c r="B41" s="66"/>
      <c r="C41" s="67"/>
      <c r="D41" s="67"/>
      <c r="E41" s="67"/>
      <c r="F41" s="67"/>
      <c r="G41" s="69"/>
    </row>
    <row r="42" ht="12.6" customHeight="1" spans="2:7" x14ac:dyDescent="0.25">
      <c r="B42" s="78" t="s">
        <v>52</v>
      </c>
      <c r="C42" s="79"/>
      <c r="D42" s="79"/>
      <c r="E42" s="79"/>
      <c r="F42" s="79"/>
      <c r="G42" s="80">
        <f>G38</f>
        <v>0</v>
      </c>
    </row>
    <row r="43" ht="12.6" customHeight="1" spans="2:7" x14ac:dyDescent="0.25">
      <c r="B43" s="81"/>
      <c r="C43" s="81"/>
      <c r="D43" s="81"/>
      <c r="E43" s="81"/>
      <c r="F43" s="81"/>
      <c r="G43" s="82"/>
    </row>
    <row r="44" spans="2:7" x14ac:dyDescent="0.25">
      <c r="B44" s="83" t="s">
        <v>53</v>
      </c>
      <c r="C44" s="84" t="s">
        <v>54</v>
      </c>
      <c r="D44" s="85"/>
      <c r="E44" s="85"/>
      <c r="F44" s="85"/>
      <c r="G44" s="86"/>
    </row>
    <row r="45" spans="2:7" x14ac:dyDescent="0.25">
      <c r="B45" s="87"/>
      <c r="C45" s="88" t="s">
        <v>55</v>
      </c>
      <c r="D45" s="88"/>
      <c r="E45" s="88"/>
      <c r="F45" s="88"/>
      <c r="G45" s="89"/>
    </row>
    <row r="46" ht="43.5" customHeight="1" spans="2:7" x14ac:dyDescent="0.25">
      <c r="B46" s="87"/>
      <c r="C46" s="88" t="s">
        <v>56</v>
      </c>
      <c r="D46" s="88"/>
      <c r="E46" s="88"/>
      <c r="F46" s="88"/>
      <c r="G46" s="89"/>
    </row>
    <row r="47" ht="15" customHeight="1" spans="2:7" x14ac:dyDescent="0.25">
      <c r="B47" s="87"/>
      <c r="C47" s="88" t="s">
        <v>57</v>
      </c>
      <c r="D47" s="88"/>
      <c r="E47" s="88"/>
      <c r="F47" s="88"/>
      <c r="G47" s="89"/>
    </row>
    <row r="48" ht="33" customHeight="1" spans="2:7" x14ac:dyDescent="0.25">
      <c r="B48" s="90"/>
      <c r="C48" s="91" t="s">
        <v>58</v>
      </c>
      <c r="D48" s="92"/>
      <c r="E48" s="92"/>
      <c r="F48" s="92"/>
      <c r="G48" s="93"/>
    </row>
  </sheetData>
  <mergeCells count="9">
    <mergeCell ref="C3:E3"/>
    <mergeCell ref="B9:H9"/>
    <mergeCell ref="B10:D10"/>
    <mergeCell ref="C44:G44"/>
    <mergeCell ref="B44:B48"/>
    <mergeCell ref="C45:G45"/>
    <mergeCell ref="C46:G46"/>
    <mergeCell ref="C47:G47"/>
    <mergeCell ref="C48:G48"/>
  </mergeCells>
  <pageMargins left="0.12" right="0.15" top="0.75" bottom="0.66" header="0.3" footer="0.3"/>
  <pageSetup orientation="portrait" horizontalDpi="4294967295" verticalDpi="4294967295" scale="9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Joperson Revaula</dc:creator>
  <cp:lastModifiedBy>Elijah Luis Mayrina</cp:lastModifiedBy>
  <cp:lastPrinted>2025-02-27T03:27:21Z</cp:lastPrinted>
  <dcterms:created xsi:type="dcterms:W3CDTF">2020-09-30T06:01:13Z</dcterms:created>
  <dcterms:modified xsi:type="dcterms:W3CDTF">2026-04-20T07:29:45Z</dcterms:modified>
</cp:coreProperties>
</file>